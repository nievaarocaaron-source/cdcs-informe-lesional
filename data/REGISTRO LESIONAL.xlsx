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hidePivotFieldList="1"/>
  <mc:AlternateContent xmlns:mc="http://schemas.openxmlformats.org/markup-compatibility/2006">
    <mc:Choice Requires="x15">
      <x15ac:absPath xmlns:x15ac="http://schemas.microsoft.com/office/spreadsheetml/2010/11/ac" url="/Users/aaronnievaaroca/Desktop/CASTELLON 25:26/READAPTACION/"/>
    </mc:Choice>
  </mc:AlternateContent>
  <xr:revisionPtr revIDLastSave="0" documentId="13_ncr:1_{E3249C90-31CA-7346-9BEC-08E5FE6FB85C}" xr6:coauthVersionLast="47" xr6:coauthVersionMax="47" xr10:uidLastSave="{00000000-0000-0000-0000-000000000000}"/>
  <bookViews>
    <workbookView xWindow="4440" yWindow="760" windowWidth="24960" windowHeight="16660" activeTab="2" xr2:uid="{00000000-000D-0000-FFFF-FFFF00000000}"/>
  </bookViews>
  <sheets>
    <sheet name="Hoja2" sheetId="6" r:id="rId1"/>
    <sheet name="Hoja3" sheetId="7" r:id="rId2"/>
    <sheet name="Base de datos" sheetId="1" r:id="rId3"/>
    <sheet name="Resumen trimestral" sheetId="2" r:id="rId4"/>
    <sheet name="Dashboard" sheetId="3" r:id="rId5"/>
    <sheet name="Listas" sheetId="4" r:id="rId6"/>
    <sheet name="Hoja1" sheetId="5" r:id="rId7"/>
  </sheets>
  <definedNames>
    <definedName name="Categrorias">Listas!$E$1:$E$16</definedName>
    <definedName name="Z">Listas!$E$1:$E$16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C2" i="2" s="1"/>
</calcChain>
</file>

<file path=xl/sharedStrings.xml><?xml version="1.0" encoding="utf-8"?>
<sst xmlns="http://schemas.openxmlformats.org/spreadsheetml/2006/main" count="730" uniqueCount="189">
  <si>
    <t>ID Jugador</t>
  </si>
  <si>
    <t>Nombre jugador</t>
  </si>
  <si>
    <t>Edad / Año nacimiento</t>
  </si>
  <si>
    <t>Categoría</t>
  </si>
  <si>
    <t>Posición</t>
  </si>
  <si>
    <t>Fecha lesión</t>
  </si>
  <si>
    <t>Fecha alta estimada</t>
  </si>
  <si>
    <t>Fecha alta real</t>
  </si>
  <si>
    <t>Días de baja</t>
  </si>
  <si>
    <t>Localización anatómica</t>
  </si>
  <si>
    <t>Tipo de lesión</t>
  </si>
  <si>
    <t>Grado / severidad</t>
  </si>
  <si>
    <t>Mecanismo lesional</t>
  </si>
  <si>
    <t>Recurrencia</t>
  </si>
  <si>
    <t>Diagnóstico</t>
  </si>
  <si>
    <t>Comentarios</t>
  </si>
  <si>
    <t>Trimestre</t>
  </si>
  <si>
    <t>Total lesiones</t>
  </si>
  <si>
    <t>Tasa lesiones (%)</t>
  </si>
  <si>
    <t>Días de baja acumulados</t>
  </si>
  <si>
    <t>Tiempo medio de recuperación</t>
  </si>
  <si>
    <t>Trimestre 1</t>
  </si>
  <si>
    <t>Dashboard de lesiones - CD Castellón (Cantera)</t>
  </si>
  <si>
    <t>⚽ KPIs principales (rellenar desde tablas dinámicas):</t>
  </si>
  <si>
    <t>- Total de lesiones</t>
  </si>
  <si>
    <t>- Días de baja acumulados</t>
  </si>
  <si>
    <t>- Tiempo medio de recuperación</t>
  </si>
  <si>
    <t>📊 Gráficos recomendados:</t>
  </si>
  <si>
    <t>- Lesiones por trimestre</t>
  </si>
  <si>
    <t>- Distribución por tipo de lesión</t>
  </si>
  <si>
    <t>- Distribución por localización</t>
  </si>
  <si>
    <t>- Tendencia mensual</t>
  </si>
  <si>
    <t>Tipos de lesión</t>
  </si>
  <si>
    <t>Mecanismos</t>
  </si>
  <si>
    <t>Diagnósticos</t>
  </si>
  <si>
    <t>Muscular</t>
  </si>
  <si>
    <t>Contacto</t>
  </si>
  <si>
    <t>Sobrecarga isquiotibial</t>
  </si>
  <si>
    <t>Articular</t>
  </si>
  <si>
    <t>No contacto</t>
  </si>
  <si>
    <t>Rotura isquiotibial</t>
  </si>
  <si>
    <t>Tendinosa</t>
  </si>
  <si>
    <t>Sobrecarga</t>
  </si>
  <si>
    <t>Esguince tobillo grado I</t>
  </si>
  <si>
    <t>Ósea</t>
  </si>
  <si>
    <t>Traumática fortuita</t>
  </si>
  <si>
    <t>Esguince tobillo grado II</t>
  </si>
  <si>
    <t>Traumática</t>
  </si>
  <si>
    <t>Lumbalgia</t>
  </si>
  <si>
    <t>Tendinitis rotuliana</t>
  </si>
  <si>
    <t>Fractura</t>
  </si>
  <si>
    <t>Contusión</t>
  </si>
  <si>
    <t>CATEGORIA</t>
  </si>
  <si>
    <t>CDCS</t>
  </si>
  <si>
    <t>FSA</t>
  </si>
  <si>
    <t>FSB</t>
  </si>
  <si>
    <t>FSC</t>
  </si>
  <si>
    <t>CJB</t>
  </si>
  <si>
    <t>CJC</t>
  </si>
  <si>
    <t>CCA</t>
  </si>
  <si>
    <t>CCB</t>
  </si>
  <si>
    <t>PCA</t>
  </si>
  <si>
    <t>PCB</t>
  </si>
  <si>
    <t>CIA</t>
  </si>
  <si>
    <t>CIB</t>
  </si>
  <si>
    <t>PIA</t>
  </si>
  <si>
    <t>PIB</t>
  </si>
  <si>
    <t>Portero</t>
  </si>
  <si>
    <t>Defensa</t>
  </si>
  <si>
    <t>Centrocampista</t>
  </si>
  <si>
    <t>Delantero</t>
  </si>
  <si>
    <t>POSICION</t>
  </si>
  <si>
    <t>GRADO/SEVERIDAD</t>
  </si>
  <si>
    <t>RECURRENCIA</t>
  </si>
  <si>
    <t>ZONA CORPORAL</t>
  </si>
  <si>
    <t>DIAGNOSTICO MEDICO</t>
  </si>
  <si>
    <t>Leve</t>
  </si>
  <si>
    <t>Moderado</t>
  </si>
  <si>
    <t>Grave</t>
  </si>
  <si>
    <t>Primera lesión</t>
  </si>
  <si>
    <t>Recaída</t>
  </si>
  <si>
    <t>Cabeza</t>
  </si>
  <si>
    <t>Cuello</t>
  </si>
  <si>
    <t>Hombro</t>
  </si>
  <si>
    <t>Brazo</t>
  </si>
  <si>
    <t>Codo</t>
  </si>
  <si>
    <t>Muñeca</t>
  </si>
  <si>
    <t>Mano</t>
  </si>
  <si>
    <t>Espalda</t>
  </si>
  <si>
    <t>Cadera</t>
  </si>
  <si>
    <t>Muslo anterior</t>
  </si>
  <si>
    <t>Muslo posterior</t>
  </si>
  <si>
    <t>Rodilla</t>
  </si>
  <si>
    <t>Pierna</t>
  </si>
  <si>
    <t>Tobillo</t>
  </si>
  <si>
    <t>Pie</t>
  </si>
  <si>
    <t>Ecografía</t>
  </si>
  <si>
    <t>Resonancia magnética</t>
  </si>
  <si>
    <t>Radiografía</t>
  </si>
  <si>
    <t>Clínico</t>
  </si>
  <si>
    <t>LEE</t>
  </si>
  <si>
    <t>MC</t>
  </si>
  <si>
    <t>Ingle</t>
  </si>
  <si>
    <t>SOUDEISS</t>
  </si>
  <si>
    <t>DEF</t>
  </si>
  <si>
    <t>Ligamento</t>
  </si>
  <si>
    <t>LCA</t>
  </si>
  <si>
    <t>LLI</t>
  </si>
  <si>
    <t>ISI ANGULO</t>
  </si>
  <si>
    <t>DEL</t>
  </si>
  <si>
    <t>ANABEL</t>
  </si>
  <si>
    <t>DFC</t>
  </si>
  <si>
    <t>JAUME</t>
  </si>
  <si>
    <t>Pubalgia</t>
  </si>
  <si>
    <t>EDDIEL</t>
  </si>
  <si>
    <t>Esguince</t>
  </si>
  <si>
    <t>PETER</t>
  </si>
  <si>
    <t>BARREDA</t>
  </si>
  <si>
    <t>ANTEQUINO</t>
  </si>
  <si>
    <t>SERGI TORNER</t>
  </si>
  <si>
    <t>POR</t>
  </si>
  <si>
    <t>Microrrotura</t>
  </si>
  <si>
    <t>AARÓN SANTOS</t>
  </si>
  <si>
    <t>LUCCA</t>
  </si>
  <si>
    <t>NATALIA CENTELLES</t>
  </si>
  <si>
    <t>Menisco</t>
  </si>
  <si>
    <t>CIRO</t>
  </si>
  <si>
    <t>Rotura recto</t>
  </si>
  <si>
    <t>CJA</t>
  </si>
  <si>
    <t>Edema oseo</t>
  </si>
  <si>
    <t>Psoas</t>
  </si>
  <si>
    <t>SANTI ACEVEDO</t>
  </si>
  <si>
    <t>ALEX GIL</t>
  </si>
  <si>
    <t>Osteocondritis</t>
  </si>
  <si>
    <t>LUCIA CALPER</t>
  </si>
  <si>
    <t>MAR FAYOS</t>
  </si>
  <si>
    <t>PASCAL</t>
  </si>
  <si>
    <t>Rotura Muscular</t>
  </si>
  <si>
    <t>PAU FORCADELL</t>
  </si>
  <si>
    <t>GERMAN FERNANDEZ</t>
  </si>
  <si>
    <t>ARTURO ALBIÑANA</t>
  </si>
  <si>
    <t>ALBERTO BETORET</t>
  </si>
  <si>
    <t>MANU BERROCAL</t>
  </si>
  <si>
    <t>PAULA FANDOS</t>
  </si>
  <si>
    <t xml:space="preserve">PAULA ABENGOZAR </t>
  </si>
  <si>
    <t>CARLA ABELLAN</t>
  </si>
  <si>
    <t>RODRI</t>
  </si>
  <si>
    <t>PABLO GIL CABALLERO</t>
  </si>
  <si>
    <t xml:space="preserve">LUCAS ORTIZ </t>
  </si>
  <si>
    <t>Subluxacion esternoclavicular</t>
  </si>
  <si>
    <t>Distensión</t>
  </si>
  <si>
    <t>MARC CERVERA</t>
  </si>
  <si>
    <t>HECTOR RAMOS</t>
  </si>
  <si>
    <t>PABLO VARA</t>
  </si>
  <si>
    <t>ASIER SAMANIEGO</t>
  </si>
  <si>
    <t>Epifiolisis</t>
  </si>
  <si>
    <t>YERAY IZQUIERDO</t>
  </si>
  <si>
    <t>G3</t>
  </si>
  <si>
    <t>G2</t>
  </si>
  <si>
    <t>ALVARO FERNANDEZ</t>
  </si>
  <si>
    <t>NAIM</t>
  </si>
  <si>
    <t xml:space="preserve">SERGI  </t>
  </si>
  <si>
    <t>Etiquetas de fila</t>
  </si>
  <si>
    <t>(en blanco)</t>
  </si>
  <si>
    <t>Total general</t>
  </si>
  <si>
    <t>Cuenta de Tipo de lesión</t>
  </si>
  <si>
    <t>TIPO DE LESIÓN</t>
  </si>
  <si>
    <t>MARIO ALBERT</t>
  </si>
  <si>
    <t>RODRI SALVADOR</t>
  </si>
  <si>
    <t>MARC MARZÁ</t>
  </si>
  <si>
    <t>ELADIO</t>
  </si>
  <si>
    <t>XAVI BELLMUNT</t>
  </si>
  <si>
    <t>KATHA</t>
  </si>
  <si>
    <t xml:space="preserve">CARLA </t>
  </si>
  <si>
    <t>JOSÉ NADAL</t>
  </si>
  <si>
    <t>NAIARA</t>
  </si>
  <si>
    <t>XAVIER MORA</t>
  </si>
  <si>
    <t>MATHIAS</t>
  </si>
  <si>
    <t>PABLO NADAL</t>
  </si>
  <si>
    <t>NICO ALEXANDRU</t>
  </si>
  <si>
    <t>GALA CEBRIÁN</t>
  </si>
  <si>
    <t>Cuenta de Diagnóstico</t>
  </si>
  <si>
    <t>NAIM RUIZ</t>
  </si>
  <si>
    <t>ANA LIZARRAGA</t>
  </si>
  <si>
    <t>ZAIRA GAY</t>
  </si>
  <si>
    <t>RUBEN FERRER</t>
  </si>
  <si>
    <t xml:space="preserve">MIGUEL ALMELA </t>
  </si>
  <si>
    <t>ANGELA JIMENEZ</t>
  </si>
  <si>
    <t>ANA FONT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</si>
</sst>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name val="Calibri"/>
      <family val="2"/>
    </font>
    <font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9BBB59"/>
        <bgColor rgb="FF9BBB59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5" borderId="1" xfId="0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F81BD"/>
          <bgColor rgb="FF4F81BD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[REGISTRO LESIONAL.xlsx]Hoja2!TablaDinámica1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Hoja2!$B$3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A11-6043-A7C1-09D61015FA4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A11-6043-A7C1-09D61015FA4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A11-6043-A7C1-09D61015FA4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A11-6043-A7C1-09D61015F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A11-6043-A7C1-09D61015FA4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A11-6043-A7C1-09D61015FA4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AA11-6043-A7C1-09D61015FA4F}"/>
              </c:ext>
            </c:extLst>
          </c:dPt>
          <c:cat>
            <c:strRef>
              <c:f>Hoja2!$A$4:$A$11</c:f>
              <c:strCache>
                <c:ptCount val="7"/>
                <c:pt idx="0">
                  <c:v>Articular</c:v>
                </c:pt>
                <c:pt idx="1">
                  <c:v>Ligamento</c:v>
                </c:pt>
                <c:pt idx="2">
                  <c:v>Muscular</c:v>
                </c:pt>
                <c:pt idx="3">
                  <c:v>Ósea</c:v>
                </c:pt>
                <c:pt idx="4">
                  <c:v>Tendinosa</c:v>
                </c:pt>
                <c:pt idx="5">
                  <c:v>Traumática</c:v>
                </c:pt>
                <c:pt idx="6">
                  <c:v>(en blanco)</c:v>
                </c:pt>
              </c:strCache>
            </c:strRef>
          </c:cat>
          <c:val>
            <c:numRef>
              <c:f>Hoja2!$B$4:$B$11</c:f>
              <c:numCache>
                <c:formatCode>General</c:formatCode>
                <c:ptCount val="7"/>
                <c:pt idx="0">
                  <c:v>20</c:v>
                </c:pt>
                <c:pt idx="1">
                  <c:v>5</c:v>
                </c:pt>
                <c:pt idx="2">
                  <c:v>18</c:v>
                </c:pt>
                <c:pt idx="3">
                  <c:v>7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E02-AE4F-9C41-0C1DCFAC0C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3</xdr:row>
      <xdr:rowOff>184150</xdr:rowOff>
    </xdr:from>
    <xdr:to>
      <xdr:col>5</xdr:col>
      <xdr:colOff>533400</xdr:colOff>
      <xdr:row>18</xdr:row>
      <xdr:rowOff>69850</xdr:rowOff>
    </xdr:to>
    <xdr:graphicFrame macro="">
      <xdr:nvGraphicFramePr>
        <xdr:cNvPr id="2" name="Gráfico 3">
          <a:extLst>
            <a:ext uri="{FF2B5EF4-FFF2-40B4-BE49-F238E27FC236}">
              <a16:creationId xmlns:a16="http://schemas.microsoft.com/office/drawing/2014/main" id="{98C45C93-44D9-CC72-D2E9-D216F41927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aron Nieva" refreshedDate="45937.521612615739" createdVersion="8" refreshedVersion="8" minRefreshableVersion="3" recordCount="1048575" xr:uid="{26F4C544-8DD4-2243-9106-24AC6BCCC8C4}">
  <cacheSource type="worksheet">
    <worksheetSource name="Tabla2"/>
  </cacheSource>
  <cacheFields count="1">
    <cacheField name="Tipo de lesión" numFmtId="0">
      <sharedItems containsBlank="1" count="7">
        <s v="Articular"/>
        <s v="Ligamento"/>
        <s v="Muscular"/>
        <s v="Ósea"/>
        <s v="Tendinosa"/>
        <s v="Traumátic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aron Nieva" refreshedDate="45938.512292476851" createdVersion="8" refreshedVersion="8" minRefreshableVersion="3" recordCount="56" xr:uid="{8008F223-20A6-8348-AC2F-99CFB57C9693}">
  <cacheSource type="worksheet">
    <worksheetSource ref="O1:O1048576" sheet="Base de datos"/>
  </cacheSource>
  <cacheFields count="1">
    <cacheField name="Diagnóstico" numFmtId="0">
      <sharedItems containsBlank="1" count="20">
        <s v="Lumbalgia"/>
        <s v="LCA"/>
        <s v="Esguince tobillo grado II"/>
        <s v="Pubalgia"/>
        <s v="Esguince"/>
        <s v="Rotura recto"/>
        <s v="Fractura"/>
        <s v="Microrrotura"/>
        <s v="Edema oseo"/>
        <s v="Menisco"/>
        <s v="Psoas"/>
        <s v="Osteocondritis"/>
        <s v="Rotura Muscular"/>
        <s v="Subluxacion esternoclavicular"/>
        <s v="Distensión"/>
        <s v="Contusión"/>
        <s v="Epifiolisis"/>
        <s v="LLI"/>
        <s v="Esguince tobillo grado I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48575">
  <r>
    <x v="0"/>
  </r>
  <r>
    <x v="1"/>
  </r>
  <r>
    <x v="1"/>
  </r>
  <r>
    <x v="1"/>
  </r>
  <r>
    <x v="2"/>
  </r>
  <r>
    <x v="0"/>
  </r>
  <r>
    <x v="0"/>
  </r>
  <r>
    <x v="2"/>
  </r>
  <r>
    <x v="3"/>
  </r>
  <r>
    <x v="2"/>
  </r>
  <r>
    <x v="0"/>
  </r>
  <r>
    <x v="0"/>
  </r>
  <r>
    <x v="0"/>
  </r>
  <r>
    <x v="2"/>
  </r>
  <r>
    <x v="2"/>
  </r>
  <r>
    <x v="0"/>
  </r>
  <r>
    <x v="2"/>
  </r>
  <r>
    <x v="0"/>
  </r>
  <r>
    <x v="2"/>
  </r>
  <r>
    <x v="0"/>
  </r>
  <r>
    <x v="2"/>
  </r>
  <r>
    <x v="0"/>
  </r>
  <r>
    <x v="2"/>
  </r>
  <r>
    <x v="0"/>
  </r>
  <r>
    <x v="0"/>
  </r>
  <r>
    <x v="0"/>
  </r>
  <r>
    <x v="0"/>
  </r>
  <r>
    <x v="4"/>
  </r>
  <r>
    <x v="2"/>
  </r>
  <r>
    <x v="2"/>
  </r>
  <r>
    <x v="0"/>
  </r>
  <r>
    <x v="4"/>
  </r>
  <r>
    <x v="3"/>
  </r>
  <r>
    <x v="3"/>
  </r>
  <r>
    <x v="1"/>
  </r>
  <r>
    <x v="0"/>
  </r>
  <r>
    <x v="1"/>
  </r>
  <r>
    <x v="0"/>
  </r>
  <r>
    <x v="5"/>
  </r>
  <r>
    <x v="0"/>
  </r>
  <r>
    <x v="5"/>
  </r>
  <r>
    <x v="2"/>
  </r>
  <r>
    <x v="2"/>
  </r>
  <r>
    <x v="2"/>
  </r>
  <r>
    <x v="2"/>
  </r>
  <r>
    <x v="2"/>
  </r>
  <r>
    <x v="2"/>
  </r>
  <r>
    <x v="2"/>
  </r>
  <r>
    <x v="3"/>
  </r>
  <r>
    <x v="3"/>
  </r>
  <r>
    <x v="3"/>
  </r>
  <r>
    <x v="3"/>
  </r>
  <r>
    <x v="0"/>
  </r>
  <r>
    <x v="0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">
  <r>
    <x v="0"/>
  </r>
  <r>
    <x v="1"/>
  </r>
  <r>
    <x v="2"/>
  </r>
  <r>
    <x v="1"/>
  </r>
  <r>
    <x v="3"/>
  </r>
  <r>
    <x v="4"/>
  </r>
  <r>
    <x v="2"/>
  </r>
  <r>
    <x v="5"/>
  </r>
  <r>
    <x v="6"/>
  </r>
  <r>
    <x v="7"/>
  </r>
  <r>
    <x v="8"/>
  </r>
  <r>
    <x v="1"/>
  </r>
  <r>
    <x v="9"/>
  </r>
  <r>
    <x v="10"/>
  </r>
  <r>
    <x v="10"/>
  </r>
  <r>
    <x v="11"/>
  </r>
  <r>
    <x v="5"/>
  </r>
  <r>
    <x v="2"/>
  </r>
  <r>
    <x v="12"/>
  </r>
  <r>
    <x v="4"/>
  </r>
  <r>
    <x v="12"/>
  </r>
  <r>
    <x v="4"/>
  </r>
  <r>
    <x v="7"/>
  </r>
  <r>
    <x v="2"/>
  </r>
  <r>
    <x v="13"/>
  </r>
  <r>
    <x v="4"/>
  </r>
  <r>
    <x v="4"/>
  </r>
  <r>
    <x v="14"/>
  </r>
  <r>
    <x v="7"/>
  </r>
  <r>
    <x v="5"/>
  </r>
  <r>
    <x v="15"/>
  </r>
  <r>
    <x v="14"/>
  </r>
  <r>
    <x v="8"/>
  </r>
  <r>
    <x v="16"/>
  </r>
  <r>
    <x v="17"/>
  </r>
  <r>
    <x v="18"/>
  </r>
  <r>
    <x v="17"/>
  </r>
  <r>
    <x v="4"/>
  </r>
  <r>
    <x v="15"/>
  </r>
  <r>
    <x v="4"/>
  </r>
  <r>
    <x v="8"/>
  </r>
  <r>
    <x v="7"/>
  </r>
  <r>
    <x v="7"/>
  </r>
  <r>
    <x v="7"/>
  </r>
  <r>
    <x v="7"/>
  </r>
  <r>
    <x v="7"/>
  </r>
  <r>
    <x v="7"/>
  </r>
  <r>
    <x v="5"/>
  </r>
  <r>
    <x v="15"/>
  </r>
  <r>
    <x v="6"/>
  </r>
  <r>
    <x v="6"/>
  </r>
  <r>
    <x v="8"/>
  </r>
  <r>
    <x v="2"/>
  </r>
  <r>
    <x v="4"/>
  </r>
  <r>
    <x v="18"/>
  </r>
  <r>
    <x v="1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48E790-0C44-5B44-9A88-B9CD3486CE8A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A3:B11" firstHeaderRow="1" firstDataRow="1" firstDataCol="1"/>
  <pivotFields count="1">
    <pivotField axis="axisRow" dataField="1" showAll="0">
      <items count="8">
        <item x="0"/>
        <item x="1"/>
        <item x="2"/>
        <item x="3"/>
        <item x="4"/>
        <item x="5"/>
        <item x="6"/>
        <item t="default"/>
      </items>
    </pivotField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uenta de Tipo de lesión" fld="0" subtotal="count" baseField="0" baseItem="0"/>
  </dataFields>
  <chartFormats count="8"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BA3B3A-1C79-2346-98EF-AF43CEC1A9B8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D3:E11" firstHeaderRow="1" firstDataRow="1" firstDataCol="1"/>
  <pivotFields count="1">
    <pivotField axis="axisRow" dataField="1" showAll="0">
      <items count="8">
        <item x="0"/>
        <item x="1"/>
        <item x="2"/>
        <item x="3"/>
        <item x="4"/>
        <item x="5"/>
        <item x="6"/>
        <item t="default"/>
      </items>
    </pivotField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uenta de Tipo de lesión" fld="0" subtotal="count" baseField="0" baseItem="0"/>
  </dataFields>
  <chartFormats count="8"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FE7775-E672-8348-B1D7-146D1E9A1D7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24" firstHeaderRow="1" firstDataRow="1" firstDataCol="1"/>
  <pivotFields count="1">
    <pivotField axis="axisRow" dataField="1" showAll="0">
      <items count="21">
        <item x="15"/>
        <item x="14"/>
        <item x="8"/>
        <item x="16"/>
        <item x="4"/>
        <item x="18"/>
        <item x="2"/>
        <item x="6"/>
        <item x="1"/>
        <item x="17"/>
        <item x="0"/>
        <item x="9"/>
        <item x="7"/>
        <item x="11"/>
        <item x="10"/>
        <item x="3"/>
        <item x="12"/>
        <item x="5"/>
        <item x="13"/>
        <item x="19"/>
        <item t="default"/>
      </items>
    </pivotField>
  </pivotFields>
  <rowFields count="1">
    <field x="0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Items count="1">
    <i/>
  </colItems>
  <dataFields count="1">
    <dataField name="Cuenta de Diagnóstico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FC121C9-9024-7043-B0D5-1A96D556A2AF}" name="Tabla2" displayName="Tabla2" ref="K1:K1048576" totalsRowShown="0" headerRowDxfId="0">
  <autoFilter ref="K1:K1048576" xr:uid="{7FC121C9-9024-7043-B0D5-1A96D556A2AF}"/>
  <tableColumns count="1">
    <tableColumn id="1" xr3:uid="{9F05360D-E844-7742-B438-6BCBDD9128DB}" name="Tipo de les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0458D-9A11-204A-944C-1B26C2038C64}">
  <dimension ref="A3:B11"/>
  <sheetViews>
    <sheetView workbookViewId="0">
      <selection activeCell="A3" sqref="A3:B11"/>
    </sheetView>
  </sheetViews>
  <sheetFormatPr baseColWidth="10" defaultRowHeight="15" x14ac:dyDescent="0.2"/>
  <cols>
    <col min="1" max="1" width="15.83203125" bestFit="1" customWidth="1"/>
    <col min="2" max="2" width="20" bestFit="1" customWidth="1"/>
  </cols>
  <sheetData>
    <row r="3" spans="1:2" x14ac:dyDescent="0.2">
      <c r="A3" s="6" t="s">
        <v>162</v>
      </c>
      <c r="B3" t="s">
        <v>165</v>
      </c>
    </row>
    <row r="4" spans="1:2" x14ac:dyDescent="0.2">
      <c r="A4" s="7" t="s">
        <v>38</v>
      </c>
      <c r="B4">
        <v>20</v>
      </c>
    </row>
    <row r="5" spans="1:2" x14ac:dyDescent="0.2">
      <c r="A5" s="7" t="s">
        <v>105</v>
      </c>
      <c r="B5">
        <v>5</v>
      </c>
    </row>
    <row r="6" spans="1:2" x14ac:dyDescent="0.2">
      <c r="A6" s="7" t="s">
        <v>35</v>
      </c>
      <c r="B6">
        <v>18</v>
      </c>
    </row>
    <row r="7" spans="1:2" x14ac:dyDescent="0.2">
      <c r="A7" s="7" t="s">
        <v>44</v>
      </c>
      <c r="B7">
        <v>7</v>
      </c>
    </row>
    <row r="8" spans="1:2" x14ac:dyDescent="0.2">
      <c r="A8" s="7" t="s">
        <v>41</v>
      </c>
      <c r="B8">
        <v>2</v>
      </c>
    </row>
    <row r="9" spans="1:2" x14ac:dyDescent="0.2">
      <c r="A9" s="7" t="s">
        <v>47</v>
      </c>
      <c r="B9">
        <v>2</v>
      </c>
    </row>
    <row r="10" spans="1:2" x14ac:dyDescent="0.2">
      <c r="A10" s="7" t="s">
        <v>163</v>
      </c>
    </row>
    <row r="11" spans="1:2" x14ac:dyDescent="0.2">
      <c r="A11" s="7" t="s">
        <v>164</v>
      </c>
      <c r="B11">
        <v>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B7EC0-7D9C-3641-A080-583D2971AAB9}">
  <dimension ref="A3:E24"/>
  <sheetViews>
    <sheetView workbookViewId="0">
      <selection activeCell="D3" sqref="D3:E11"/>
    </sheetView>
  </sheetViews>
  <sheetFormatPr baseColWidth="10" defaultRowHeight="15" x14ac:dyDescent="0.2"/>
  <cols>
    <col min="1" max="1" width="24.1640625" bestFit="1" customWidth="1"/>
    <col min="2" max="2" width="18.33203125" bestFit="1" customWidth="1"/>
  </cols>
  <sheetData>
    <row r="3" spans="1:5" x14ac:dyDescent="0.2">
      <c r="A3" s="6" t="s">
        <v>162</v>
      </c>
      <c r="B3" t="s">
        <v>181</v>
      </c>
      <c r="D3" s="6" t="s">
        <v>162</v>
      </c>
      <c r="E3" t="s">
        <v>165</v>
      </c>
    </row>
    <row r="4" spans="1:5" x14ac:dyDescent="0.2">
      <c r="A4" s="7" t="s">
        <v>51</v>
      </c>
      <c r="B4">
        <v>3</v>
      </c>
      <c r="D4" s="7" t="s">
        <v>38</v>
      </c>
      <c r="E4">
        <v>20</v>
      </c>
    </row>
    <row r="5" spans="1:5" x14ac:dyDescent="0.2">
      <c r="A5" s="7" t="s">
        <v>150</v>
      </c>
      <c r="B5">
        <v>2</v>
      </c>
      <c r="D5" s="7" t="s">
        <v>105</v>
      </c>
      <c r="E5">
        <v>5</v>
      </c>
    </row>
    <row r="6" spans="1:5" x14ac:dyDescent="0.2">
      <c r="A6" s="7" t="s">
        <v>129</v>
      </c>
      <c r="B6">
        <v>4</v>
      </c>
      <c r="D6" s="7" t="s">
        <v>35</v>
      </c>
      <c r="E6">
        <v>18</v>
      </c>
    </row>
    <row r="7" spans="1:5" x14ac:dyDescent="0.2">
      <c r="A7" s="7" t="s">
        <v>155</v>
      </c>
      <c r="B7">
        <v>1</v>
      </c>
      <c r="D7" s="7" t="s">
        <v>44</v>
      </c>
      <c r="E7">
        <v>7</v>
      </c>
    </row>
    <row r="8" spans="1:5" x14ac:dyDescent="0.2">
      <c r="A8" s="7" t="s">
        <v>115</v>
      </c>
      <c r="B8">
        <v>8</v>
      </c>
      <c r="D8" s="7" t="s">
        <v>41</v>
      </c>
      <c r="E8">
        <v>2</v>
      </c>
    </row>
    <row r="9" spans="1:5" x14ac:dyDescent="0.2">
      <c r="A9" s="7" t="s">
        <v>43</v>
      </c>
      <c r="B9">
        <v>2</v>
      </c>
      <c r="D9" s="7" t="s">
        <v>47</v>
      </c>
      <c r="E9">
        <v>2</v>
      </c>
    </row>
    <row r="10" spans="1:5" x14ac:dyDescent="0.2">
      <c r="A10" s="7" t="s">
        <v>46</v>
      </c>
      <c r="B10">
        <v>5</v>
      </c>
      <c r="D10" s="7" t="s">
        <v>163</v>
      </c>
    </row>
    <row r="11" spans="1:5" x14ac:dyDescent="0.2">
      <c r="A11" s="7" t="s">
        <v>50</v>
      </c>
      <c r="B11">
        <v>3</v>
      </c>
      <c r="D11" s="7" t="s">
        <v>164</v>
      </c>
      <c r="E11">
        <v>54</v>
      </c>
    </row>
    <row r="12" spans="1:5" x14ac:dyDescent="0.2">
      <c r="A12" s="7" t="s">
        <v>106</v>
      </c>
      <c r="B12">
        <v>3</v>
      </c>
    </row>
    <row r="13" spans="1:5" x14ac:dyDescent="0.2">
      <c r="A13" s="7" t="s">
        <v>107</v>
      </c>
      <c r="B13">
        <v>2</v>
      </c>
    </row>
    <row r="14" spans="1:5" x14ac:dyDescent="0.2">
      <c r="A14" s="7" t="s">
        <v>48</v>
      </c>
      <c r="B14">
        <v>1</v>
      </c>
    </row>
    <row r="15" spans="1:5" x14ac:dyDescent="0.2">
      <c r="A15" s="7" t="s">
        <v>125</v>
      </c>
      <c r="B15">
        <v>1</v>
      </c>
    </row>
    <row r="16" spans="1:5" x14ac:dyDescent="0.2">
      <c r="A16" s="7" t="s">
        <v>121</v>
      </c>
      <c r="B16">
        <v>9</v>
      </c>
    </row>
    <row r="17" spans="1:2" x14ac:dyDescent="0.2">
      <c r="A17" s="7" t="s">
        <v>133</v>
      </c>
      <c r="B17">
        <v>1</v>
      </c>
    </row>
    <row r="18" spans="1:2" x14ac:dyDescent="0.2">
      <c r="A18" s="7" t="s">
        <v>130</v>
      </c>
      <c r="B18">
        <v>2</v>
      </c>
    </row>
    <row r="19" spans="1:2" x14ac:dyDescent="0.2">
      <c r="A19" s="7" t="s">
        <v>113</v>
      </c>
      <c r="B19">
        <v>1</v>
      </c>
    </row>
    <row r="20" spans="1:2" x14ac:dyDescent="0.2">
      <c r="A20" s="7" t="s">
        <v>137</v>
      </c>
      <c r="B20">
        <v>2</v>
      </c>
    </row>
    <row r="21" spans="1:2" x14ac:dyDescent="0.2">
      <c r="A21" s="7" t="s">
        <v>127</v>
      </c>
      <c r="B21">
        <v>4</v>
      </c>
    </row>
    <row r="22" spans="1:2" x14ac:dyDescent="0.2">
      <c r="A22" s="7" t="s">
        <v>149</v>
      </c>
      <c r="B22">
        <v>1</v>
      </c>
    </row>
    <row r="23" spans="1:2" x14ac:dyDescent="0.2">
      <c r="A23" s="7" t="s">
        <v>163</v>
      </c>
    </row>
    <row r="24" spans="1:2" x14ac:dyDescent="0.2">
      <c r="A24" s="7" t="s">
        <v>164</v>
      </c>
      <c r="B24">
        <v>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4"/>
  <sheetViews>
    <sheetView tabSelected="1" topLeftCell="G3" workbookViewId="0">
      <selection activeCell="D2" sqref="D2"/>
    </sheetView>
  </sheetViews>
  <sheetFormatPr baseColWidth="10" defaultColWidth="8.83203125" defaultRowHeight="15" x14ac:dyDescent="0.2"/>
  <cols>
    <col min="1" max="1" width="12" customWidth="1"/>
    <col min="2" max="2" width="19.5" customWidth="1"/>
    <col min="3" max="3" width="23" customWidth="1"/>
    <col min="4" max="4" width="11" customWidth="1"/>
    <col min="5" max="5" width="10" customWidth="1"/>
    <col min="6" max="6" width="14" customWidth="1"/>
    <col min="7" max="7" width="21" customWidth="1"/>
    <col min="8" max="8" width="17" customWidth="1"/>
    <col min="9" max="9" width="14" customWidth="1"/>
    <col min="10" max="10" width="24" customWidth="1"/>
    <col min="11" max="11" width="17.5" customWidth="1"/>
    <col min="12" max="12" width="19" customWidth="1"/>
    <col min="13" max="13" width="17.6640625" customWidth="1"/>
    <col min="14" max="14" width="13" customWidth="1"/>
    <col min="15" max="15" width="20.33203125" style="4" customWidth="1"/>
    <col min="16" max="16" width="16.83203125" customWidth="1"/>
  </cols>
  <sheetData>
    <row r="1" spans="1: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5" t="s">
        <v>14</v>
      </c>
      <c r="P1" s="1" t="s">
        <v>15</v>
      </c>
    </row>
    <row r="2" spans="1:16" x14ac:dyDescent="0.2">
      <c r="A2">
        <v>1</v>
      </c>
      <c r="B2" t="s">
        <v>100</v>
      </c>
      <c r="C2">
        <v>2008</v>
      </c>
      <c r="D2" t="s">
        <v>128</v>
      </c>
      <c r="E2" t="s">
        <v>101</v>
      </c>
      <c r="J2" t="s">
        <v>88</v>
      </c>
      <c r="K2" t="s">
        <v>38</v>
      </c>
      <c r="L2" t="s">
        <v>77</v>
      </c>
      <c r="M2" t="s">
        <v>39</v>
      </c>
      <c r="N2" t="s">
        <v>79</v>
      </c>
      <c r="O2" s="4" t="s">
        <v>48</v>
      </c>
    </row>
    <row r="3" spans="1:16" x14ac:dyDescent="0.2">
      <c r="A3">
        <v>2</v>
      </c>
      <c r="B3" t="s">
        <v>103</v>
      </c>
      <c r="C3">
        <v>2005</v>
      </c>
      <c r="D3" t="s">
        <v>53</v>
      </c>
      <c r="E3" t="s">
        <v>104</v>
      </c>
      <c r="J3" t="s">
        <v>92</v>
      </c>
      <c r="K3" t="s">
        <v>105</v>
      </c>
      <c r="L3" t="s">
        <v>78</v>
      </c>
      <c r="M3" t="s">
        <v>39</v>
      </c>
      <c r="N3" t="s">
        <v>79</v>
      </c>
      <c r="O3" s="4" t="s">
        <v>106</v>
      </c>
    </row>
    <row r="4" spans="1:16" x14ac:dyDescent="0.2">
      <c r="A4">
        <v>3</v>
      </c>
      <c r="B4" t="s">
        <v>108</v>
      </c>
      <c r="C4">
        <v>2005</v>
      </c>
      <c r="D4" t="s">
        <v>53</v>
      </c>
      <c r="E4" t="s">
        <v>109</v>
      </c>
      <c r="J4" t="s">
        <v>94</v>
      </c>
      <c r="K4" t="s">
        <v>105</v>
      </c>
      <c r="L4" t="s">
        <v>78</v>
      </c>
      <c r="M4" t="s">
        <v>36</v>
      </c>
      <c r="N4" t="s">
        <v>79</v>
      </c>
      <c r="O4" s="4" t="s">
        <v>46</v>
      </c>
    </row>
    <row r="5" spans="1:16" x14ac:dyDescent="0.2">
      <c r="A5">
        <v>4</v>
      </c>
      <c r="B5" t="s">
        <v>110</v>
      </c>
      <c r="D5" t="s">
        <v>54</v>
      </c>
      <c r="E5" t="s">
        <v>111</v>
      </c>
      <c r="J5" t="s">
        <v>92</v>
      </c>
      <c r="K5" t="s">
        <v>105</v>
      </c>
      <c r="L5" t="s">
        <v>78</v>
      </c>
      <c r="M5" t="s">
        <v>36</v>
      </c>
      <c r="N5" t="s">
        <v>79</v>
      </c>
      <c r="O5" s="4" t="s">
        <v>106</v>
      </c>
    </row>
    <row r="6" spans="1:16" x14ac:dyDescent="0.2">
      <c r="A6">
        <v>5</v>
      </c>
      <c r="B6" t="s">
        <v>112</v>
      </c>
      <c r="C6">
        <v>2009</v>
      </c>
      <c r="D6" t="s">
        <v>57</v>
      </c>
      <c r="E6" t="s">
        <v>111</v>
      </c>
      <c r="J6" t="s">
        <v>102</v>
      </c>
      <c r="K6" t="s">
        <v>35</v>
      </c>
      <c r="L6" t="s">
        <v>76</v>
      </c>
      <c r="M6" t="s">
        <v>42</v>
      </c>
      <c r="N6" t="s">
        <v>79</v>
      </c>
      <c r="O6" s="4" t="s">
        <v>113</v>
      </c>
    </row>
    <row r="7" spans="1:16" x14ac:dyDescent="0.2">
      <c r="A7">
        <v>6</v>
      </c>
      <c r="B7" t="s">
        <v>114</v>
      </c>
      <c r="C7">
        <v>2009</v>
      </c>
      <c r="D7" t="s">
        <v>57</v>
      </c>
      <c r="E7" t="s">
        <v>109</v>
      </c>
      <c r="J7" t="s">
        <v>86</v>
      </c>
      <c r="K7" t="s">
        <v>38</v>
      </c>
      <c r="L7" t="s">
        <v>76</v>
      </c>
      <c r="M7" t="s">
        <v>45</v>
      </c>
      <c r="N7" t="s">
        <v>79</v>
      </c>
      <c r="O7" s="4" t="s">
        <v>115</v>
      </c>
    </row>
    <row r="8" spans="1:16" x14ac:dyDescent="0.2">
      <c r="A8">
        <v>7</v>
      </c>
      <c r="B8" t="s">
        <v>116</v>
      </c>
      <c r="C8">
        <v>2011</v>
      </c>
      <c r="D8" t="s">
        <v>59</v>
      </c>
      <c r="E8" t="s">
        <v>109</v>
      </c>
      <c r="J8" t="s">
        <v>95</v>
      </c>
      <c r="K8" t="s">
        <v>38</v>
      </c>
      <c r="L8" t="s">
        <v>77</v>
      </c>
      <c r="M8" t="s">
        <v>36</v>
      </c>
      <c r="N8" t="s">
        <v>79</v>
      </c>
      <c r="O8" s="4" t="s">
        <v>46</v>
      </c>
    </row>
    <row r="9" spans="1:16" x14ac:dyDescent="0.2">
      <c r="A9">
        <v>8</v>
      </c>
      <c r="B9" t="s">
        <v>117</v>
      </c>
      <c r="C9">
        <v>2013</v>
      </c>
      <c r="D9" t="s">
        <v>63</v>
      </c>
      <c r="E9" t="s">
        <v>109</v>
      </c>
      <c r="J9" t="s">
        <v>90</v>
      </c>
      <c r="K9" t="s">
        <v>35</v>
      </c>
      <c r="L9" t="s">
        <v>76</v>
      </c>
      <c r="M9" t="s">
        <v>42</v>
      </c>
      <c r="N9" t="s">
        <v>79</v>
      </c>
      <c r="O9" s="4" t="s">
        <v>127</v>
      </c>
    </row>
    <row r="10" spans="1:16" x14ac:dyDescent="0.2">
      <c r="A10">
        <v>9</v>
      </c>
      <c r="B10" t="s">
        <v>118</v>
      </c>
      <c r="C10">
        <v>2012</v>
      </c>
      <c r="D10" t="s">
        <v>63</v>
      </c>
      <c r="E10" t="s">
        <v>63</v>
      </c>
      <c r="J10" t="s">
        <v>93</v>
      </c>
      <c r="K10" t="s">
        <v>44</v>
      </c>
      <c r="L10" t="s">
        <v>78</v>
      </c>
      <c r="M10" t="s">
        <v>36</v>
      </c>
      <c r="N10" t="s">
        <v>79</v>
      </c>
      <c r="O10" s="4" t="s">
        <v>50</v>
      </c>
    </row>
    <row r="11" spans="1:16" x14ac:dyDescent="0.2">
      <c r="A11">
        <v>10</v>
      </c>
      <c r="B11" t="s">
        <v>119</v>
      </c>
      <c r="D11" t="s">
        <v>53</v>
      </c>
      <c r="E11" t="s">
        <v>120</v>
      </c>
      <c r="J11" t="s">
        <v>90</v>
      </c>
      <c r="K11" t="s">
        <v>35</v>
      </c>
      <c r="L11" t="s">
        <v>76</v>
      </c>
      <c r="M11" t="s">
        <v>42</v>
      </c>
      <c r="N11" t="s">
        <v>79</v>
      </c>
      <c r="O11" s="4" t="s">
        <v>121</v>
      </c>
    </row>
    <row r="12" spans="1:16" x14ac:dyDescent="0.2">
      <c r="A12">
        <v>11</v>
      </c>
      <c r="B12" t="s">
        <v>122</v>
      </c>
      <c r="D12" t="s">
        <v>128</v>
      </c>
      <c r="E12" t="s">
        <v>101</v>
      </c>
      <c r="J12" t="s">
        <v>92</v>
      </c>
      <c r="K12" t="s">
        <v>38</v>
      </c>
      <c r="L12" t="s">
        <v>77</v>
      </c>
      <c r="M12" t="s">
        <v>39</v>
      </c>
      <c r="N12" t="s">
        <v>79</v>
      </c>
      <c r="O12" s="4" t="s">
        <v>129</v>
      </c>
    </row>
    <row r="13" spans="1:16" x14ac:dyDescent="0.2">
      <c r="A13">
        <v>12</v>
      </c>
      <c r="B13" t="s">
        <v>123</v>
      </c>
      <c r="D13" t="s">
        <v>128</v>
      </c>
      <c r="E13" t="s">
        <v>111</v>
      </c>
      <c r="J13" t="s">
        <v>92</v>
      </c>
      <c r="K13" t="s">
        <v>38</v>
      </c>
      <c r="L13" t="s">
        <v>77</v>
      </c>
      <c r="M13" t="s">
        <v>36</v>
      </c>
      <c r="N13" t="s">
        <v>79</v>
      </c>
      <c r="O13" s="4" t="s">
        <v>106</v>
      </c>
    </row>
    <row r="14" spans="1:16" x14ac:dyDescent="0.2">
      <c r="A14">
        <v>13</v>
      </c>
      <c r="B14" t="s">
        <v>124</v>
      </c>
      <c r="C14">
        <v>2003</v>
      </c>
      <c r="D14" t="s">
        <v>54</v>
      </c>
      <c r="E14" t="s">
        <v>111</v>
      </c>
      <c r="J14" t="s">
        <v>92</v>
      </c>
      <c r="K14" t="s">
        <v>38</v>
      </c>
      <c r="L14" t="s">
        <v>77</v>
      </c>
      <c r="M14" t="s">
        <v>39</v>
      </c>
      <c r="N14" t="s">
        <v>79</v>
      </c>
      <c r="O14" s="4" t="s">
        <v>125</v>
      </c>
    </row>
    <row r="15" spans="1:16" x14ac:dyDescent="0.2">
      <c r="A15">
        <v>14</v>
      </c>
      <c r="B15" t="s">
        <v>126</v>
      </c>
      <c r="D15" t="s">
        <v>58</v>
      </c>
      <c r="E15" t="s">
        <v>111</v>
      </c>
      <c r="J15" t="s">
        <v>89</v>
      </c>
      <c r="K15" t="s">
        <v>35</v>
      </c>
      <c r="L15" t="s">
        <v>77</v>
      </c>
      <c r="M15" t="s">
        <v>42</v>
      </c>
      <c r="N15" t="s">
        <v>79</v>
      </c>
      <c r="O15" s="4" t="s">
        <v>130</v>
      </c>
    </row>
    <row r="16" spans="1:16" x14ac:dyDescent="0.2">
      <c r="A16">
        <v>15</v>
      </c>
      <c r="B16" t="s">
        <v>131</v>
      </c>
      <c r="C16">
        <v>2012</v>
      </c>
      <c r="D16" t="s">
        <v>63</v>
      </c>
      <c r="E16" t="s">
        <v>111</v>
      </c>
      <c r="J16" t="s">
        <v>89</v>
      </c>
      <c r="K16" t="s">
        <v>35</v>
      </c>
      <c r="L16" t="s">
        <v>77</v>
      </c>
      <c r="M16" t="s">
        <v>42</v>
      </c>
      <c r="N16" t="s">
        <v>79</v>
      </c>
      <c r="O16" s="4" t="s">
        <v>130</v>
      </c>
    </row>
    <row r="17" spans="1:15" x14ac:dyDescent="0.2">
      <c r="A17">
        <v>16</v>
      </c>
      <c r="B17" t="s">
        <v>132</v>
      </c>
      <c r="C17">
        <v>2012</v>
      </c>
      <c r="D17" t="s">
        <v>61</v>
      </c>
      <c r="E17" t="s">
        <v>101</v>
      </c>
      <c r="J17" t="s">
        <v>92</v>
      </c>
      <c r="K17" t="s">
        <v>38</v>
      </c>
      <c r="L17" t="s">
        <v>78</v>
      </c>
      <c r="M17" t="s">
        <v>36</v>
      </c>
      <c r="N17" t="s">
        <v>79</v>
      </c>
      <c r="O17" s="4" t="s">
        <v>133</v>
      </c>
    </row>
    <row r="18" spans="1:15" x14ac:dyDescent="0.2">
      <c r="A18">
        <v>17</v>
      </c>
      <c r="B18" t="s">
        <v>134</v>
      </c>
      <c r="C18">
        <v>2002</v>
      </c>
      <c r="D18" t="s">
        <v>54</v>
      </c>
      <c r="E18" t="s">
        <v>109</v>
      </c>
      <c r="J18" t="s">
        <v>90</v>
      </c>
      <c r="K18" t="s">
        <v>35</v>
      </c>
      <c r="L18" t="s">
        <v>76</v>
      </c>
      <c r="M18" t="s">
        <v>42</v>
      </c>
      <c r="N18" t="s">
        <v>79</v>
      </c>
      <c r="O18" s="4" t="s">
        <v>127</v>
      </c>
    </row>
    <row r="19" spans="1:15" x14ac:dyDescent="0.2">
      <c r="A19">
        <v>18</v>
      </c>
      <c r="B19" t="s">
        <v>135</v>
      </c>
      <c r="C19">
        <v>2005</v>
      </c>
      <c r="D19" t="s">
        <v>54</v>
      </c>
      <c r="E19" t="s">
        <v>104</v>
      </c>
      <c r="J19" t="s">
        <v>94</v>
      </c>
      <c r="K19" t="s">
        <v>38</v>
      </c>
      <c r="L19" t="s">
        <v>77</v>
      </c>
      <c r="M19" t="s">
        <v>36</v>
      </c>
      <c r="N19" t="s">
        <v>79</v>
      </c>
      <c r="O19" s="4" t="s">
        <v>46</v>
      </c>
    </row>
    <row r="20" spans="1:15" x14ac:dyDescent="0.2">
      <c r="A20">
        <v>19</v>
      </c>
      <c r="B20" t="s">
        <v>136</v>
      </c>
      <c r="D20" t="s">
        <v>57</v>
      </c>
      <c r="E20" t="s">
        <v>101</v>
      </c>
      <c r="J20" t="s">
        <v>89</v>
      </c>
      <c r="K20" t="s">
        <v>35</v>
      </c>
      <c r="L20" t="s">
        <v>78</v>
      </c>
      <c r="M20" t="s">
        <v>36</v>
      </c>
      <c r="N20" t="s">
        <v>80</v>
      </c>
      <c r="O20" s="4" t="s">
        <v>137</v>
      </c>
    </row>
    <row r="21" spans="1:15" x14ac:dyDescent="0.2">
      <c r="A21">
        <v>20</v>
      </c>
      <c r="B21" t="s">
        <v>138</v>
      </c>
      <c r="D21" t="s">
        <v>59</v>
      </c>
      <c r="J21" t="s">
        <v>94</v>
      </c>
      <c r="K21" t="s">
        <v>38</v>
      </c>
      <c r="L21" t="s">
        <v>76</v>
      </c>
      <c r="M21" t="s">
        <v>36</v>
      </c>
      <c r="N21" t="s">
        <v>79</v>
      </c>
      <c r="O21" s="4" t="s">
        <v>115</v>
      </c>
    </row>
    <row r="22" spans="1:15" x14ac:dyDescent="0.2">
      <c r="A22">
        <v>21</v>
      </c>
      <c r="B22" t="s">
        <v>139</v>
      </c>
      <c r="C22">
        <v>2012</v>
      </c>
      <c r="D22" t="s">
        <v>61</v>
      </c>
      <c r="E22" t="s">
        <v>101</v>
      </c>
      <c r="J22" t="s">
        <v>90</v>
      </c>
      <c r="K22" t="s">
        <v>35</v>
      </c>
      <c r="L22" t="s">
        <v>77</v>
      </c>
      <c r="M22" t="s">
        <v>42</v>
      </c>
      <c r="N22" t="s">
        <v>79</v>
      </c>
      <c r="O22" s="4" t="s">
        <v>137</v>
      </c>
    </row>
    <row r="23" spans="1:15" x14ac:dyDescent="0.2">
      <c r="A23">
        <v>22</v>
      </c>
      <c r="B23" t="s">
        <v>140</v>
      </c>
      <c r="C23">
        <v>2012</v>
      </c>
      <c r="D23" t="s">
        <v>63</v>
      </c>
      <c r="E23" t="s">
        <v>109</v>
      </c>
      <c r="J23" t="s">
        <v>92</v>
      </c>
      <c r="K23" t="s">
        <v>38</v>
      </c>
      <c r="L23" t="s">
        <v>76</v>
      </c>
      <c r="M23" t="s">
        <v>39</v>
      </c>
      <c r="N23" t="s">
        <v>79</v>
      </c>
      <c r="O23" s="4" t="s">
        <v>115</v>
      </c>
    </row>
    <row r="24" spans="1:15" x14ac:dyDescent="0.2">
      <c r="A24">
        <v>23</v>
      </c>
      <c r="B24" t="s">
        <v>141</v>
      </c>
      <c r="C24">
        <v>2012</v>
      </c>
      <c r="D24" t="s">
        <v>63</v>
      </c>
      <c r="E24" t="s">
        <v>104</v>
      </c>
      <c r="J24" t="s">
        <v>90</v>
      </c>
      <c r="K24" t="s">
        <v>35</v>
      </c>
      <c r="L24" t="s">
        <v>76</v>
      </c>
      <c r="M24" t="s">
        <v>42</v>
      </c>
      <c r="N24" t="s">
        <v>79</v>
      </c>
      <c r="O24" s="4" t="s">
        <v>121</v>
      </c>
    </row>
    <row r="25" spans="1:15" x14ac:dyDescent="0.2">
      <c r="A25">
        <v>24</v>
      </c>
      <c r="B25" t="s">
        <v>142</v>
      </c>
      <c r="C25">
        <v>2003</v>
      </c>
      <c r="D25" t="s">
        <v>53</v>
      </c>
      <c r="E25" t="s">
        <v>104</v>
      </c>
      <c r="J25" t="s">
        <v>94</v>
      </c>
      <c r="K25" t="s">
        <v>38</v>
      </c>
      <c r="L25" t="s">
        <v>78</v>
      </c>
      <c r="M25" t="s">
        <v>39</v>
      </c>
      <c r="N25" t="s">
        <v>79</v>
      </c>
      <c r="O25" s="4" t="s">
        <v>46</v>
      </c>
    </row>
    <row r="26" spans="1:15" x14ac:dyDescent="0.2">
      <c r="A26">
        <v>25</v>
      </c>
      <c r="B26" t="s">
        <v>143</v>
      </c>
      <c r="D26" t="s">
        <v>56</v>
      </c>
      <c r="E26" t="s">
        <v>120</v>
      </c>
      <c r="J26" t="s">
        <v>83</v>
      </c>
      <c r="K26" t="s">
        <v>38</v>
      </c>
      <c r="L26" t="s">
        <v>77</v>
      </c>
      <c r="M26" t="s">
        <v>36</v>
      </c>
      <c r="N26" t="s">
        <v>79</v>
      </c>
      <c r="O26" s="4" t="s">
        <v>149</v>
      </c>
    </row>
    <row r="27" spans="1:15" x14ac:dyDescent="0.2">
      <c r="A27">
        <v>26</v>
      </c>
      <c r="B27" t="s">
        <v>144</v>
      </c>
      <c r="D27" t="s">
        <v>55</v>
      </c>
      <c r="E27" t="s">
        <v>109</v>
      </c>
      <c r="J27" t="s">
        <v>94</v>
      </c>
      <c r="K27" t="s">
        <v>38</v>
      </c>
      <c r="L27" t="s">
        <v>76</v>
      </c>
      <c r="M27" t="s">
        <v>36</v>
      </c>
      <c r="N27" t="s">
        <v>79</v>
      </c>
      <c r="O27" s="4" t="s">
        <v>115</v>
      </c>
    </row>
    <row r="28" spans="1:15" x14ac:dyDescent="0.2">
      <c r="A28">
        <v>27</v>
      </c>
      <c r="B28" t="s">
        <v>145</v>
      </c>
      <c r="D28" t="s">
        <v>55</v>
      </c>
      <c r="E28" t="s">
        <v>104</v>
      </c>
      <c r="J28" t="s">
        <v>94</v>
      </c>
      <c r="K28" t="s">
        <v>38</v>
      </c>
      <c r="L28" t="s">
        <v>76</v>
      </c>
      <c r="M28" t="s">
        <v>36</v>
      </c>
      <c r="N28" t="s">
        <v>79</v>
      </c>
      <c r="O28" s="4" t="s">
        <v>115</v>
      </c>
    </row>
    <row r="29" spans="1:15" x14ac:dyDescent="0.2">
      <c r="A29">
        <v>28</v>
      </c>
      <c r="B29" t="s">
        <v>146</v>
      </c>
      <c r="D29" t="s">
        <v>57</v>
      </c>
      <c r="E29" t="s">
        <v>101</v>
      </c>
      <c r="J29" t="s">
        <v>95</v>
      </c>
      <c r="K29" t="s">
        <v>41</v>
      </c>
      <c r="L29" t="s">
        <v>76</v>
      </c>
      <c r="M29" t="s">
        <v>39</v>
      </c>
      <c r="N29" t="s">
        <v>79</v>
      </c>
      <c r="O29" s="4" t="s">
        <v>150</v>
      </c>
    </row>
    <row r="30" spans="1:15" x14ac:dyDescent="0.2">
      <c r="A30">
        <v>29</v>
      </c>
      <c r="B30" t="s">
        <v>147</v>
      </c>
      <c r="D30" t="s">
        <v>61</v>
      </c>
      <c r="E30" t="s">
        <v>101</v>
      </c>
      <c r="J30" t="s">
        <v>90</v>
      </c>
      <c r="K30" t="s">
        <v>35</v>
      </c>
      <c r="L30" t="s">
        <v>76</v>
      </c>
      <c r="M30" t="s">
        <v>42</v>
      </c>
      <c r="N30" t="s">
        <v>79</v>
      </c>
      <c r="O30" s="4" t="s">
        <v>121</v>
      </c>
    </row>
    <row r="31" spans="1:15" x14ac:dyDescent="0.2">
      <c r="A31">
        <v>30</v>
      </c>
      <c r="B31" t="s">
        <v>148</v>
      </c>
      <c r="D31" t="s">
        <v>64</v>
      </c>
      <c r="E31" t="s">
        <v>104</v>
      </c>
      <c r="J31" t="s">
        <v>90</v>
      </c>
      <c r="K31" t="s">
        <v>35</v>
      </c>
      <c r="L31" t="s">
        <v>76</v>
      </c>
      <c r="M31" t="s">
        <v>42</v>
      </c>
      <c r="N31" t="s">
        <v>79</v>
      </c>
      <c r="O31" s="4" t="s">
        <v>127</v>
      </c>
    </row>
    <row r="32" spans="1:15" x14ac:dyDescent="0.2">
      <c r="A32">
        <v>31</v>
      </c>
      <c r="B32" t="s">
        <v>151</v>
      </c>
      <c r="D32" t="s">
        <v>60</v>
      </c>
      <c r="E32" t="s">
        <v>101</v>
      </c>
      <c r="J32" t="s">
        <v>92</v>
      </c>
      <c r="K32" t="s">
        <v>38</v>
      </c>
      <c r="L32" t="s">
        <v>76</v>
      </c>
      <c r="M32" t="s">
        <v>36</v>
      </c>
      <c r="N32" t="s">
        <v>79</v>
      </c>
      <c r="O32" s="4" t="s">
        <v>51</v>
      </c>
    </row>
    <row r="33" spans="1:16" x14ac:dyDescent="0.2">
      <c r="A33">
        <v>32</v>
      </c>
      <c r="B33" t="s">
        <v>152</v>
      </c>
      <c r="C33">
        <v>2012</v>
      </c>
      <c r="D33" t="s">
        <v>65</v>
      </c>
      <c r="E33" t="s">
        <v>101</v>
      </c>
      <c r="J33" t="s">
        <v>95</v>
      </c>
      <c r="K33" t="s">
        <v>41</v>
      </c>
      <c r="L33" t="s">
        <v>76</v>
      </c>
      <c r="M33" t="s">
        <v>39</v>
      </c>
      <c r="N33" t="s">
        <v>79</v>
      </c>
      <c r="O33" s="4" t="s">
        <v>150</v>
      </c>
    </row>
    <row r="34" spans="1:16" x14ac:dyDescent="0.2">
      <c r="A34">
        <v>33</v>
      </c>
      <c r="B34" t="s">
        <v>153</v>
      </c>
      <c r="D34" t="s">
        <v>62</v>
      </c>
      <c r="E34" t="s">
        <v>109</v>
      </c>
      <c r="J34" t="s">
        <v>93</v>
      </c>
      <c r="K34" t="s">
        <v>44</v>
      </c>
      <c r="L34" t="s">
        <v>78</v>
      </c>
      <c r="M34" t="s">
        <v>36</v>
      </c>
      <c r="N34" t="s">
        <v>79</v>
      </c>
      <c r="O34" s="4" t="s">
        <v>129</v>
      </c>
    </row>
    <row r="35" spans="1:16" x14ac:dyDescent="0.2">
      <c r="A35">
        <v>34</v>
      </c>
      <c r="B35" t="s">
        <v>154</v>
      </c>
      <c r="D35" t="s">
        <v>66</v>
      </c>
      <c r="E35" t="s">
        <v>109</v>
      </c>
      <c r="J35" t="s">
        <v>89</v>
      </c>
      <c r="K35" t="s">
        <v>44</v>
      </c>
      <c r="L35" t="s">
        <v>77</v>
      </c>
      <c r="M35" t="s">
        <v>39</v>
      </c>
      <c r="N35" t="s">
        <v>79</v>
      </c>
      <c r="O35" s="4" t="s">
        <v>155</v>
      </c>
    </row>
    <row r="36" spans="1:16" x14ac:dyDescent="0.2">
      <c r="A36">
        <v>35</v>
      </c>
      <c r="B36" t="s">
        <v>103</v>
      </c>
      <c r="D36" t="s">
        <v>53</v>
      </c>
      <c r="E36" t="s">
        <v>104</v>
      </c>
      <c r="J36" t="s">
        <v>92</v>
      </c>
      <c r="K36" t="s">
        <v>105</v>
      </c>
      <c r="L36" t="s">
        <v>78</v>
      </c>
      <c r="M36" t="s">
        <v>36</v>
      </c>
      <c r="N36" t="s">
        <v>79</v>
      </c>
      <c r="O36" s="4" t="s">
        <v>107</v>
      </c>
      <c r="P36" t="s">
        <v>158</v>
      </c>
    </row>
    <row r="37" spans="1:16" x14ac:dyDescent="0.2">
      <c r="A37">
        <v>36</v>
      </c>
      <c r="B37" t="s">
        <v>108</v>
      </c>
      <c r="D37" t="s">
        <v>53</v>
      </c>
      <c r="E37" t="s">
        <v>109</v>
      </c>
      <c r="J37" t="s">
        <v>94</v>
      </c>
      <c r="K37" t="s">
        <v>38</v>
      </c>
      <c r="L37" t="s">
        <v>77</v>
      </c>
      <c r="M37" t="s">
        <v>36</v>
      </c>
      <c r="N37" t="s">
        <v>79</v>
      </c>
      <c r="O37" s="4" t="s">
        <v>43</v>
      </c>
    </row>
    <row r="38" spans="1:16" x14ac:dyDescent="0.2">
      <c r="A38">
        <v>37</v>
      </c>
      <c r="B38" t="s">
        <v>156</v>
      </c>
      <c r="D38" t="s">
        <v>53</v>
      </c>
      <c r="E38" t="s">
        <v>104</v>
      </c>
      <c r="J38" t="s">
        <v>92</v>
      </c>
      <c r="K38" t="s">
        <v>105</v>
      </c>
      <c r="L38" t="s">
        <v>78</v>
      </c>
      <c r="M38" t="s">
        <v>39</v>
      </c>
      <c r="N38" t="s">
        <v>79</v>
      </c>
      <c r="O38" s="4" t="s">
        <v>107</v>
      </c>
      <c r="P38" t="s">
        <v>157</v>
      </c>
    </row>
    <row r="39" spans="1:16" x14ac:dyDescent="0.2">
      <c r="A39">
        <v>38</v>
      </c>
      <c r="B39" t="s">
        <v>159</v>
      </c>
      <c r="D39" t="s">
        <v>59</v>
      </c>
      <c r="E39" t="s">
        <v>109</v>
      </c>
      <c r="J39" t="s">
        <v>94</v>
      </c>
      <c r="K39" t="s">
        <v>38</v>
      </c>
      <c r="L39" t="s">
        <v>76</v>
      </c>
      <c r="M39" t="s">
        <v>39</v>
      </c>
      <c r="N39" t="s">
        <v>79</v>
      </c>
      <c r="O39" s="4" t="s">
        <v>115</v>
      </c>
    </row>
    <row r="40" spans="1:16" x14ac:dyDescent="0.2">
      <c r="A40">
        <v>39</v>
      </c>
      <c r="B40" t="s">
        <v>160</v>
      </c>
      <c r="D40" t="s">
        <v>59</v>
      </c>
      <c r="E40" t="s">
        <v>101</v>
      </c>
      <c r="J40" t="s">
        <v>92</v>
      </c>
      <c r="K40" t="s">
        <v>47</v>
      </c>
      <c r="L40" t="s">
        <v>76</v>
      </c>
      <c r="M40" t="s">
        <v>36</v>
      </c>
      <c r="N40" t="s">
        <v>79</v>
      </c>
      <c r="O40" s="4" t="s">
        <v>51</v>
      </c>
    </row>
    <row r="41" spans="1:16" x14ac:dyDescent="0.2">
      <c r="A41">
        <v>40</v>
      </c>
      <c r="B41" t="s">
        <v>161</v>
      </c>
      <c r="D41" t="s">
        <v>60</v>
      </c>
      <c r="E41" t="s">
        <v>120</v>
      </c>
      <c r="J41" t="s">
        <v>92</v>
      </c>
      <c r="K41" t="s">
        <v>38</v>
      </c>
      <c r="L41" t="s">
        <v>78</v>
      </c>
      <c r="M41" t="s">
        <v>39</v>
      </c>
      <c r="N41" t="s">
        <v>80</v>
      </c>
      <c r="O41" s="4" t="s">
        <v>115</v>
      </c>
    </row>
    <row r="42" spans="1:16" x14ac:dyDescent="0.2">
      <c r="A42">
        <v>41</v>
      </c>
      <c r="B42" t="s">
        <v>167</v>
      </c>
      <c r="D42" t="s">
        <v>128</v>
      </c>
      <c r="E42" t="s">
        <v>101</v>
      </c>
      <c r="J42" t="s">
        <v>95</v>
      </c>
      <c r="K42" t="s">
        <v>47</v>
      </c>
      <c r="L42" t="s">
        <v>77</v>
      </c>
      <c r="M42" t="s">
        <v>36</v>
      </c>
      <c r="N42" t="s">
        <v>79</v>
      </c>
      <c r="O42" s="4" t="s">
        <v>129</v>
      </c>
    </row>
    <row r="43" spans="1:16" x14ac:dyDescent="0.2">
      <c r="A43">
        <v>42</v>
      </c>
      <c r="B43" t="s">
        <v>168</v>
      </c>
      <c r="C43">
        <v>2008</v>
      </c>
      <c r="D43" t="s">
        <v>57</v>
      </c>
      <c r="E43" t="s">
        <v>104</v>
      </c>
      <c r="J43" t="s">
        <v>90</v>
      </c>
      <c r="K43" t="s">
        <v>35</v>
      </c>
      <c r="L43" t="s">
        <v>76</v>
      </c>
      <c r="M43" t="s">
        <v>39</v>
      </c>
      <c r="N43" t="s">
        <v>79</v>
      </c>
      <c r="O43" s="4" t="s">
        <v>121</v>
      </c>
    </row>
    <row r="44" spans="1:16" x14ac:dyDescent="0.2">
      <c r="A44">
        <v>43</v>
      </c>
      <c r="B44" t="s">
        <v>169</v>
      </c>
      <c r="C44">
        <v>2011</v>
      </c>
      <c r="D44" t="s">
        <v>60</v>
      </c>
      <c r="E44" t="s">
        <v>101</v>
      </c>
      <c r="J44" t="s">
        <v>90</v>
      </c>
      <c r="K44" t="s">
        <v>35</v>
      </c>
      <c r="L44" t="s">
        <v>76</v>
      </c>
      <c r="M44" t="s">
        <v>39</v>
      </c>
      <c r="N44" t="s">
        <v>79</v>
      </c>
      <c r="O44" s="4" t="s">
        <v>121</v>
      </c>
    </row>
    <row r="45" spans="1:16" x14ac:dyDescent="0.2">
      <c r="A45">
        <v>44</v>
      </c>
      <c r="B45" t="s">
        <v>170</v>
      </c>
      <c r="C45">
        <v>2009</v>
      </c>
      <c r="D45" t="s">
        <v>57</v>
      </c>
      <c r="E45" t="s">
        <v>104</v>
      </c>
      <c r="J45" t="s">
        <v>90</v>
      </c>
      <c r="K45" t="s">
        <v>35</v>
      </c>
      <c r="L45" t="s">
        <v>76</v>
      </c>
      <c r="M45" t="s">
        <v>39</v>
      </c>
      <c r="N45" t="s">
        <v>79</v>
      </c>
      <c r="O45" s="4" t="s">
        <v>121</v>
      </c>
    </row>
    <row r="46" spans="1:16" x14ac:dyDescent="0.2">
      <c r="A46">
        <v>45</v>
      </c>
      <c r="B46" t="s">
        <v>171</v>
      </c>
      <c r="D46" t="s">
        <v>65</v>
      </c>
      <c r="E46" t="s">
        <v>101</v>
      </c>
      <c r="J46" t="s">
        <v>93</v>
      </c>
      <c r="K46" t="s">
        <v>35</v>
      </c>
      <c r="L46" t="s">
        <v>77</v>
      </c>
      <c r="M46" t="s">
        <v>42</v>
      </c>
      <c r="N46" t="s">
        <v>79</v>
      </c>
      <c r="O46" s="4" t="s">
        <v>121</v>
      </c>
    </row>
    <row r="47" spans="1:16" x14ac:dyDescent="0.2">
      <c r="A47">
        <v>46</v>
      </c>
      <c r="B47" t="s">
        <v>172</v>
      </c>
      <c r="D47" t="s">
        <v>55</v>
      </c>
      <c r="E47" t="s">
        <v>109</v>
      </c>
      <c r="J47" t="s">
        <v>91</v>
      </c>
      <c r="K47" t="s">
        <v>35</v>
      </c>
      <c r="L47" t="s">
        <v>77</v>
      </c>
      <c r="M47" t="s">
        <v>42</v>
      </c>
      <c r="N47" t="s">
        <v>80</v>
      </c>
      <c r="O47" s="4" t="s">
        <v>121</v>
      </c>
    </row>
    <row r="48" spans="1:16" x14ac:dyDescent="0.2">
      <c r="A48">
        <v>47</v>
      </c>
      <c r="B48" t="s">
        <v>173</v>
      </c>
      <c r="D48" t="s">
        <v>56</v>
      </c>
      <c r="E48" t="s">
        <v>109</v>
      </c>
      <c r="J48" t="s">
        <v>90</v>
      </c>
      <c r="K48" t="s">
        <v>35</v>
      </c>
      <c r="L48" t="s">
        <v>76</v>
      </c>
      <c r="M48" t="s">
        <v>42</v>
      </c>
      <c r="N48" t="s">
        <v>79</v>
      </c>
      <c r="O48" s="4" t="s">
        <v>121</v>
      </c>
    </row>
    <row r="49" spans="1:15" x14ac:dyDescent="0.2">
      <c r="A49">
        <v>48</v>
      </c>
      <c r="B49" t="s">
        <v>174</v>
      </c>
      <c r="D49" t="s">
        <v>128</v>
      </c>
      <c r="E49" t="s">
        <v>104</v>
      </c>
      <c r="J49" t="s">
        <v>90</v>
      </c>
      <c r="K49" t="s">
        <v>35</v>
      </c>
      <c r="L49" t="s">
        <v>78</v>
      </c>
      <c r="M49" t="s">
        <v>42</v>
      </c>
      <c r="N49" t="s">
        <v>79</v>
      </c>
      <c r="O49" s="4" t="s">
        <v>127</v>
      </c>
    </row>
    <row r="50" spans="1:15" x14ac:dyDescent="0.2">
      <c r="A50">
        <v>49</v>
      </c>
      <c r="B50" t="s">
        <v>175</v>
      </c>
      <c r="D50" t="s">
        <v>57</v>
      </c>
      <c r="E50" t="s">
        <v>101</v>
      </c>
      <c r="J50" t="s">
        <v>95</v>
      </c>
      <c r="K50" t="s">
        <v>44</v>
      </c>
      <c r="L50" t="s">
        <v>76</v>
      </c>
      <c r="M50" t="s">
        <v>36</v>
      </c>
      <c r="N50" t="s">
        <v>79</v>
      </c>
      <c r="O50" s="4" t="s">
        <v>51</v>
      </c>
    </row>
    <row r="51" spans="1:15" x14ac:dyDescent="0.2">
      <c r="A51">
        <v>50</v>
      </c>
      <c r="B51" t="s">
        <v>176</v>
      </c>
      <c r="D51" t="s">
        <v>62</v>
      </c>
      <c r="E51" t="s">
        <v>109</v>
      </c>
      <c r="J51" t="s">
        <v>95</v>
      </c>
      <c r="K51" t="s">
        <v>44</v>
      </c>
      <c r="L51" t="s">
        <v>76</v>
      </c>
      <c r="M51" t="s">
        <v>36</v>
      </c>
      <c r="N51" t="s">
        <v>79</v>
      </c>
      <c r="O51" s="4" t="s">
        <v>50</v>
      </c>
    </row>
    <row r="52" spans="1:15" x14ac:dyDescent="0.2">
      <c r="A52">
        <v>51</v>
      </c>
      <c r="B52" t="s">
        <v>177</v>
      </c>
      <c r="D52" t="s">
        <v>128</v>
      </c>
      <c r="E52" t="s">
        <v>101</v>
      </c>
      <c r="J52" t="s">
        <v>93</v>
      </c>
      <c r="K52" t="s">
        <v>44</v>
      </c>
      <c r="L52" t="s">
        <v>78</v>
      </c>
      <c r="M52" t="s">
        <v>36</v>
      </c>
      <c r="N52" t="s">
        <v>79</v>
      </c>
      <c r="O52" s="4" t="s">
        <v>50</v>
      </c>
    </row>
    <row r="53" spans="1:15" x14ac:dyDescent="0.2">
      <c r="A53">
        <v>52</v>
      </c>
      <c r="B53" t="s">
        <v>178</v>
      </c>
      <c r="D53" t="s">
        <v>57</v>
      </c>
      <c r="E53" t="s">
        <v>104</v>
      </c>
      <c r="J53" t="s">
        <v>92</v>
      </c>
      <c r="K53" t="s">
        <v>44</v>
      </c>
      <c r="L53" t="s">
        <v>76</v>
      </c>
      <c r="M53" t="s">
        <v>36</v>
      </c>
      <c r="N53" t="s">
        <v>79</v>
      </c>
      <c r="O53" s="4" t="s">
        <v>129</v>
      </c>
    </row>
    <row r="54" spans="1:15" x14ac:dyDescent="0.2">
      <c r="A54">
        <v>53</v>
      </c>
      <c r="B54" t="s">
        <v>159</v>
      </c>
      <c r="D54" t="s">
        <v>59</v>
      </c>
      <c r="E54" t="s">
        <v>109</v>
      </c>
      <c r="J54" t="s">
        <v>94</v>
      </c>
      <c r="K54" t="s">
        <v>38</v>
      </c>
      <c r="L54" t="s">
        <v>77</v>
      </c>
      <c r="M54" t="s">
        <v>39</v>
      </c>
      <c r="N54" t="s">
        <v>80</v>
      </c>
      <c r="O54" s="4" t="s">
        <v>46</v>
      </c>
    </row>
    <row r="55" spans="1:15" x14ac:dyDescent="0.2">
      <c r="A55">
        <v>54</v>
      </c>
      <c r="B55" t="s">
        <v>179</v>
      </c>
      <c r="D55" t="s">
        <v>59</v>
      </c>
      <c r="E55" t="s">
        <v>101</v>
      </c>
      <c r="J55" t="s">
        <v>94</v>
      </c>
      <c r="K55" t="s">
        <v>38</v>
      </c>
      <c r="L55" t="s">
        <v>76</v>
      </c>
      <c r="M55" t="s">
        <v>36</v>
      </c>
      <c r="N55" t="s">
        <v>79</v>
      </c>
      <c r="O55" s="4" t="s">
        <v>115</v>
      </c>
    </row>
    <row r="56" spans="1:15" x14ac:dyDescent="0.2">
      <c r="A56">
        <v>55</v>
      </c>
      <c r="B56" t="s">
        <v>180</v>
      </c>
      <c r="D56" t="s">
        <v>56</v>
      </c>
      <c r="E56" t="s">
        <v>104</v>
      </c>
      <c r="J56" t="s">
        <v>94</v>
      </c>
      <c r="K56" t="s">
        <v>38</v>
      </c>
      <c r="L56" t="s">
        <v>76</v>
      </c>
      <c r="M56" t="s">
        <v>36</v>
      </c>
      <c r="N56" t="s">
        <v>79</v>
      </c>
      <c r="O56" s="4" t="s">
        <v>43</v>
      </c>
    </row>
    <row r="57" spans="1:15" x14ac:dyDescent="0.2">
      <c r="A57">
        <v>56</v>
      </c>
      <c r="B57" t="s">
        <v>131</v>
      </c>
      <c r="D57" t="s">
        <v>63</v>
      </c>
      <c r="E57" t="s">
        <v>101</v>
      </c>
      <c r="J57" t="s">
        <v>102</v>
      </c>
      <c r="K57" t="s">
        <v>35</v>
      </c>
      <c r="L57" t="s">
        <v>76</v>
      </c>
      <c r="M57" t="s">
        <v>42</v>
      </c>
      <c r="N57" t="s">
        <v>80</v>
      </c>
      <c r="O57" s="4" t="s">
        <v>121</v>
      </c>
    </row>
    <row r="58" spans="1:15" x14ac:dyDescent="0.2">
      <c r="A58">
        <v>57</v>
      </c>
      <c r="B58" t="s">
        <v>182</v>
      </c>
      <c r="D58" t="s">
        <v>59</v>
      </c>
      <c r="E58" t="s">
        <v>101</v>
      </c>
      <c r="J58" t="s">
        <v>94</v>
      </c>
      <c r="K58" t="s">
        <v>44</v>
      </c>
      <c r="L58" t="s">
        <v>76</v>
      </c>
      <c r="M58" t="s">
        <v>45</v>
      </c>
      <c r="N58" t="s">
        <v>79</v>
      </c>
      <c r="O58" s="4" t="s">
        <v>150</v>
      </c>
    </row>
    <row r="59" spans="1:15" x14ac:dyDescent="0.2">
      <c r="A59">
        <v>58</v>
      </c>
      <c r="B59" t="s">
        <v>183</v>
      </c>
      <c r="D59" t="s">
        <v>54</v>
      </c>
      <c r="E59" t="s">
        <v>101</v>
      </c>
      <c r="J59" t="s">
        <v>94</v>
      </c>
      <c r="K59" t="s">
        <v>105</v>
      </c>
      <c r="L59" t="s">
        <v>77</v>
      </c>
      <c r="M59" t="s">
        <v>36</v>
      </c>
      <c r="N59" t="s">
        <v>79</v>
      </c>
      <c r="O59" s="4" t="s">
        <v>46</v>
      </c>
    </row>
    <row r="60" spans="1:15" x14ac:dyDescent="0.2">
      <c r="A60">
        <v>59</v>
      </c>
      <c r="B60" t="s">
        <v>184</v>
      </c>
      <c r="D60" t="s">
        <v>54</v>
      </c>
      <c r="E60" t="s">
        <v>109</v>
      </c>
      <c r="J60" t="s">
        <v>83</v>
      </c>
      <c r="K60" t="s">
        <v>105</v>
      </c>
      <c r="L60" t="s">
        <v>77</v>
      </c>
      <c r="M60" t="s">
        <v>36</v>
      </c>
      <c r="N60" t="s">
        <v>79</v>
      </c>
      <c r="O60" s="4" t="s">
        <v>149</v>
      </c>
    </row>
    <row r="61" spans="1:15" x14ac:dyDescent="0.2">
      <c r="A61">
        <v>60</v>
      </c>
      <c r="B61" t="s">
        <v>185</v>
      </c>
      <c r="D61" t="s">
        <v>61</v>
      </c>
      <c r="E61" t="s">
        <v>104</v>
      </c>
      <c r="J61" t="s">
        <v>92</v>
      </c>
      <c r="K61" t="s">
        <v>105</v>
      </c>
      <c r="L61" t="s">
        <v>78</v>
      </c>
      <c r="M61" t="s">
        <v>39</v>
      </c>
      <c r="N61" t="s">
        <v>79</v>
      </c>
      <c r="O61" s="4" t="s">
        <v>125</v>
      </c>
    </row>
    <row r="62" spans="1:15" x14ac:dyDescent="0.2">
      <c r="A62">
        <v>61</v>
      </c>
      <c r="B62" t="s">
        <v>186</v>
      </c>
      <c r="D62" t="s">
        <v>63</v>
      </c>
      <c r="E62" t="s">
        <v>101</v>
      </c>
      <c r="J62" t="s">
        <v>93</v>
      </c>
      <c r="K62" t="s">
        <v>35</v>
      </c>
      <c r="L62" t="s">
        <v>76</v>
      </c>
      <c r="M62" t="s">
        <v>36</v>
      </c>
      <c r="N62" t="s">
        <v>79</v>
      </c>
      <c r="O62" s="4" t="s">
        <v>40</v>
      </c>
    </row>
    <row r="63" spans="1:15" x14ac:dyDescent="0.2">
      <c r="A63">
        <v>62</v>
      </c>
      <c r="B63" t="s">
        <v>187</v>
      </c>
      <c r="D63" t="s">
        <v>56</v>
      </c>
      <c r="E63" t="s">
        <v>109</v>
      </c>
      <c r="J63" t="s">
        <v>93</v>
      </c>
      <c r="K63" t="s">
        <v>35</v>
      </c>
      <c r="L63" t="s">
        <v>76</v>
      </c>
      <c r="M63" t="s">
        <v>39</v>
      </c>
      <c r="N63" t="s">
        <v>79</v>
      </c>
      <c r="O63" s="4" t="s">
        <v>127</v>
      </c>
    </row>
    <row r="64" spans="1:15" x14ac:dyDescent="0.2">
      <c r="A64">
        <v>63</v>
      </c>
      <c r="B64" t="s">
        <v>188</v>
      </c>
      <c r="D64" t="s">
        <v>55</v>
      </c>
      <c r="E64" t="s">
        <v>101</v>
      </c>
      <c r="J64" t="s">
        <v>94</v>
      </c>
      <c r="K64" t="s">
        <v>105</v>
      </c>
      <c r="L64" t="s">
        <v>77</v>
      </c>
      <c r="M64" t="s">
        <v>39</v>
      </c>
      <c r="N64" t="s">
        <v>79</v>
      </c>
      <c r="O64" s="4" t="s">
        <v>43</v>
      </c>
    </row>
  </sheetData>
  <dataValidations count="3">
    <dataValidation type="date" allowBlank="1" showInputMessage="1" showErrorMessage="1" error="Introduce una fecha válida." prompt="Selecciona una fecha del calendario." sqref="A2:A1000" xr:uid="{00000000-0002-0000-0000-000009000000}"/>
    <dataValidation type="list" allowBlank="1" showDropDown="1" showInputMessage="1" showErrorMessage="1" sqref="F2:F1000" xr:uid="{00000000-0002-0000-0000-00000D000000}">
      <formula1>"Leve,Moderado,Grave"</formula1>
    </dataValidation>
    <dataValidation allowBlank="1" showDropDown="1" showInputMessage="1" showErrorMessage="1" sqref="C1:C30 C32:C1048576 E1:E47 E49:E1048576" xr:uid="{19DB7AB4-2618-1441-AEDB-7630FD716610}"/>
  </dataValidations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B7668E8D-29F5-224E-B35C-5D99091179FB}">
          <x14:formula1>
            <xm:f>Listas!$I$2:$I$17</xm:f>
          </x14:formula1>
          <xm:sqref>J1:J1048576</xm:sqref>
        </x14:dataValidation>
        <x14:dataValidation type="list" allowBlank="1" showInputMessage="1" showErrorMessage="1" xr:uid="{D981B69E-5381-484F-B32F-3FDA588E912F}">
          <x14:formula1>
            <xm:f>Listas!$G$2:$G$4</xm:f>
          </x14:formula1>
          <xm:sqref>L1:L1048576</xm:sqref>
        </x14:dataValidation>
        <x14:dataValidation type="list" allowBlank="1" showInputMessage="1" showErrorMessage="1" xr:uid="{0B942161-541D-3449-A687-711099F4C2C7}">
          <x14:formula1>
            <xm:f>Listas!$H$2:$H$3</xm:f>
          </x14:formula1>
          <xm:sqref>N1:N1048576</xm:sqref>
        </x14:dataValidation>
        <x14:dataValidation type="list" allowBlank="1" showInputMessage="1" showErrorMessage="1" xr:uid="{22A38066-E161-7245-B249-041E399B9317}">
          <x14:formula1>
            <xm:f>Listas!$A$2:$A$8</xm:f>
          </x14:formula1>
          <xm:sqref>K1:K1048576</xm:sqref>
        </x14:dataValidation>
        <x14:dataValidation type="list" allowBlank="1" showInputMessage="1" showErrorMessage="1" xr:uid="{7DDE9775-9FC6-354C-84A6-D315D92D2CD5}">
          <x14:formula1>
            <xm:f>Listas!$C$2:$C$22</xm:f>
          </x14:formula1>
          <xm:sqref>O1:O34 O36:O1048576</xm:sqref>
        </x14:dataValidation>
        <x14:dataValidation type="list" allowBlank="1" showInputMessage="1" showErrorMessage="1" xr:uid="{B97BDD5E-13C7-C14D-B217-ACA47174A948}">
          <x14:formula1>
            <xm:f>Listas!$C$2:$C$23</xm:f>
          </x14:formula1>
          <xm:sqref>O35</xm:sqref>
        </x14:dataValidation>
        <x14:dataValidation type="list" allowBlank="1" showInputMessage="1" showErrorMessage="1" xr:uid="{00000000-0002-0000-0000-000001000000}">
          <x14:formula1>
            <xm:f>Listas!$B$2:$B$100</xm:f>
          </x14:formula1>
          <xm:sqref>M2:M500</xm:sqref>
        </x14:dataValidation>
        <x14:dataValidation type="list" allowBlank="1" showInputMessage="1" showErrorMessage="1" xr:uid="{00000000-0002-0000-0000-000007000000}">
          <x14:formula1>
            <xm:f>Listas!$B$2:$B$500</xm:f>
          </x14:formula1>
          <xm:sqref>M2:M2000</xm:sqref>
        </x14:dataValidation>
        <x14:dataValidation type="list" allowBlank="1" showInputMessage="1" showErrorMessage="1" xr:uid="{EB1C236A-3D45-C241-83AB-24F605D8E1DE}">
          <x14:formula1>
            <xm:f>Listas!$E$2:$E$16</xm:f>
          </x14:formula1>
          <xm:sqref>D1:D58 D60:D1048576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B2" sqref="B2"/>
    </sheetView>
  </sheetViews>
  <sheetFormatPr baseColWidth="10" defaultColWidth="8.83203125" defaultRowHeight="15" x14ac:dyDescent="0.2"/>
  <sheetData>
    <row r="1" spans="1:5" x14ac:dyDescent="0.2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</row>
    <row r="2" spans="1:5" x14ac:dyDescent="0.2">
      <c r="A2" t="s">
        <v>21</v>
      </c>
      <c r="B2" t="e">
        <f ca="1">(CONTAR.SI('Base de datos'!F:F,"&gt;=01/01/2025")-CONTAR.SI('Base de datos'!F:F,"&gt;31/03/2025"))</f>
        <v>#NAME?</v>
      </c>
      <c r="C2" t="e">
        <f ca="1">B2/20</f>
        <v>#NAME?</v>
      </c>
      <c r="D2">
        <f>SUM('Base de datos'!I:I)</f>
        <v>0</v>
      </c>
      <c r="E2" t="e">
        <f ca="1">PROMEDIO.SI('Base de datos'!I:I,"&gt;0")</f>
        <v>#NAME?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3"/>
  <sheetViews>
    <sheetView workbookViewId="0"/>
  </sheetViews>
  <sheetFormatPr baseColWidth="10" defaultColWidth="8.83203125" defaultRowHeight="15" x14ac:dyDescent="0.2"/>
  <sheetData>
    <row r="1" spans="1:1" ht="19" x14ac:dyDescent="0.25">
      <c r="A1" s="3" t="s">
        <v>22</v>
      </c>
    </row>
    <row r="3" spans="1:1" x14ac:dyDescent="0.2">
      <c r="A3" t="s">
        <v>23</v>
      </c>
    </row>
    <row r="5" spans="1:1" x14ac:dyDescent="0.2">
      <c r="A5" t="s">
        <v>24</v>
      </c>
    </row>
    <row r="6" spans="1:1" x14ac:dyDescent="0.2">
      <c r="A6" t="s">
        <v>25</v>
      </c>
    </row>
    <row r="7" spans="1:1" x14ac:dyDescent="0.2">
      <c r="A7" t="s">
        <v>26</v>
      </c>
    </row>
    <row r="9" spans="1:1" x14ac:dyDescent="0.2">
      <c r="A9" t="s">
        <v>27</v>
      </c>
    </row>
    <row r="10" spans="1:1" x14ac:dyDescent="0.2">
      <c r="A10" t="s">
        <v>28</v>
      </c>
    </row>
    <row r="11" spans="1:1" x14ac:dyDescent="0.2">
      <c r="A11" t="s">
        <v>29</v>
      </c>
    </row>
    <row r="12" spans="1:1" x14ac:dyDescent="0.2">
      <c r="A12" t="s">
        <v>30</v>
      </c>
    </row>
    <row r="13" spans="1:1" x14ac:dyDescent="0.2">
      <c r="A13" t="s">
        <v>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3"/>
  <sheetViews>
    <sheetView workbookViewId="0">
      <selection activeCell="C24" sqref="C24"/>
    </sheetView>
  </sheetViews>
  <sheetFormatPr baseColWidth="10" defaultColWidth="8.83203125" defaultRowHeight="15" x14ac:dyDescent="0.2"/>
  <sheetData>
    <row r="1" spans="1:10" x14ac:dyDescent="0.2">
      <c r="A1" t="s">
        <v>32</v>
      </c>
      <c r="B1" t="s">
        <v>33</v>
      </c>
      <c r="C1" t="s">
        <v>34</v>
      </c>
      <c r="E1" t="s">
        <v>52</v>
      </c>
      <c r="F1" t="s">
        <v>71</v>
      </c>
      <c r="G1" t="s">
        <v>72</v>
      </c>
      <c r="H1" t="s">
        <v>73</v>
      </c>
      <c r="I1" t="s">
        <v>74</v>
      </c>
      <c r="J1" t="s">
        <v>75</v>
      </c>
    </row>
    <row r="2" spans="1:10" x14ac:dyDescent="0.2">
      <c r="A2" t="s">
        <v>35</v>
      </c>
      <c r="B2" t="s">
        <v>36</v>
      </c>
      <c r="C2" t="s">
        <v>37</v>
      </c>
      <c r="E2" t="s">
        <v>53</v>
      </c>
      <c r="F2" t="s">
        <v>67</v>
      </c>
      <c r="G2" t="s">
        <v>76</v>
      </c>
      <c r="H2" t="s">
        <v>79</v>
      </c>
      <c r="I2" t="s">
        <v>81</v>
      </c>
      <c r="J2" t="s">
        <v>96</v>
      </c>
    </row>
    <row r="3" spans="1:10" x14ac:dyDescent="0.2">
      <c r="A3" t="s">
        <v>38</v>
      </c>
      <c r="B3" t="s">
        <v>39</v>
      </c>
      <c r="C3" t="s">
        <v>40</v>
      </c>
      <c r="E3" t="s">
        <v>128</v>
      </c>
      <c r="F3" t="s">
        <v>68</v>
      </c>
      <c r="G3" t="s">
        <v>77</v>
      </c>
      <c r="H3" t="s">
        <v>80</v>
      </c>
      <c r="I3" t="s">
        <v>82</v>
      </c>
      <c r="J3" t="s">
        <v>97</v>
      </c>
    </row>
    <row r="4" spans="1:10" x14ac:dyDescent="0.2">
      <c r="A4" t="s">
        <v>41</v>
      </c>
      <c r="B4" t="s">
        <v>42</v>
      </c>
      <c r="C4" t="s">
        <v>43</v>
      </c>
      <c r="E4" t="s">
        <v>54</v>
      </c>
      <c r="F4" t="s">
        <v>69</v>
      </c>
      <c r="G4" t="s">
        <v>78</v>
      </c>
      <c r="I4" t="s">
        <v>83</v>
      </c>
      <c r="J4" t="s">
        <v>98</v>
      </c>
    </row>
    <row r="5" spans="1:10" x14ac:dyDescent="0.2">
      <c r="A5" t="s">
        <v>44</v>
      </c>
      <c r="B5" t="s">
        <v>45</v>
      </c>
      <c r="C5" t="s">
        <v>46</v>
      </c>
      <c r="E5" t="s">
        <v>55</v>
      </c>
      <c r="F5" t="s">
        <v>70</v>
      </c>
      <c r="I5" t="s">
        <v>84</v>
      </c>
      <c r="J5" t="s">
        <v>99</v>
      </c>
    </row>
    <row r="6" spans="1:10" x14ac:dyDescent="0.2">
      <c r="A6" t="s">
        <v>47</v>
      </c>
      <c r="C6" t="s">
        <v>48</v>
      </c>
      <c r="E6" t="s">
        <v>56</v>
      </c>
      <c r="I6" t="s">
        <v>85</v>
      </c>
    </row>
    <row r="7" spans="1:10" x14ac:dyDescent="0.2">
      <c r="A7" t="s">
        <v>42</v>
      </c>
      <c r="C7" t="s">
        <v>49</v>
      </c>
      <c r="E7" t="s">
        <v>57</v>
      </c>
      <c r="I7" t="s">
        <v>86</v>
      </c>
    </row>
    <row r="8" spans="1:10" x14ac:dyDescent="0.2">
      <c r="A8" t="s">
        <v>105</v>
      </c>
      <c r="C8" t="s">
        <v>50</v>
      </c>
      <c r="E8" t="s">
        <v>58</v>
      </c>
      <c r="I8" t="s">
        <v>87</v>
      </c>
    </row>
    <row r="9" spans="1:10" x14ac:dyDescent="0.2">
      <c r="C9" t="s">
        <v>51</v>
      </c>
      <c r="E9" t="s">
        <v>59</v>
      </c>
      <c r="I9" t="s">
        <v>88</v>
      </c>
    </row>
    <row r="10" spans="1:10" x14ac:dyDescent="0.2">
      <c r="C10" t="s">
        <v>106</v>
      </c>
      <c r="E10" t="s">
        <v>60</v>
      </c>
      <c r="I10" t="s">
        <v>89</v>
      </c>
    </row>
    <row r="11" spans="1:10" x14ac:dyDescent="0.2">
      <c r="C11" t="s">
        <v>107</v>
      </c>
      <c r="E11" t="s">
        <v>61</v>
      </c>
      <c r="I11" t="s">
        <v>90</v>
      </c>
    </row>
    <row r="12" spans="1:10" x14ac:dyDescent="0.2">
      <c r="C12" t="s">
        <v>113</v>
      </c>
      <c r="E12" t="s">
        <v>62</v>
      </c>
      <c r="I12" t="s">
        <v>91</v>
      </c>
    </row>
    <row r="13" spans="1:10" x14ac:dyDescent="0.2">
      <c r="C13" t="s">
        <v>115</v>
      </c>
      <c r="E13" t="s">
        <v>63</v>
      </c>
      <c r="I13" t="s">
        <v>92</v>
      </c>
    </row>
    <row r="14" spans="1:10" x14ac:dyDescent="0.2">
      <c r="C14" t="s">
        <v>121</v>
      </c>
      <c r="E14" t="s">
        <v>64</v>
      </c>
      <c r="I14" t="s">
        <v>93</v>
      </c>
    </row>
    <row r="15" spans="1:10" x14ac:dyDescent="0.2">
      <c r="C15" t="s">
        <v>125</v>
      </c>
      <c r="E15" t="s">
        <v>65</v>
      </c>
      <c r="I15" t="s">
        <v>94</v>
      </c>
    </row>
    <row r="16" spans="1:10" x14ac:dyDescent="0.2">
      <c r="C16" t="s">
        <v>127</v>
      </c>
      <c r="E16" t="s">
        <v>66</v>
      </c>
      <c r="I16" t="s">
        <v>95</v>
      </c>
    </row>
    <row r="17" spans="3:9" x14ac:dyDescent="0.2">
      <c r="C17" t="s">
        <v>129</v>
      </c>
      <c r="I17" t="s">
        <v>102</v>
      </c>
    </row>
    <row r="18" spans="3:9" x14ac:dyDescent="0.2">
      <c r="C18" t="s">
        <v>130</v>
      </c>
    </row>
    <row r="19" spans="3:9" x14ac:dyDescent="0.2">
      <c r="C19" t="s">
        <v>133</v>
      </c>
    </row>
    <row r="20" spans="3:9" x14ac:dyDescent="0.2">
      <c r="C20" t="s">
        <v>137</v>
      </c>
    </row>
    <row r="21" spans="3:9" x14ac:dyDescent="0.2">
      <c r="C21" t="s">
        <v>149</v>
      </c>
    </row>
    <row r="22" spans="3:9" x14ac:dyDescent="0.2">
      <c r="C22" t="s">
        <v>150</v>
      </c>
    </row>
    <row r="23" spans="3:9" x14ac:dyDescent="0.2">
      <c r="C23" t="s">
        <v>155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868EC-E8B5-0447-850B-769531BDE826}">
  <dimension ref="B3:D3"/>
  <sheetViews>
    <sheetView zoomScale="110" workbookViewId="0">
      <selection activeCell="H10" sqref="H10"/>
    </sheetView>
  </sheetViews>
  <sheetFormatPr baseColWidth="10" defaultRowHeight="15" x14ac:dyDescent="0.2"/>
  <cols>
    <col min="2" max="2" width="11.33203125" customWidth="1"/>
  </cols>
  <sheetData>
    <row r="3" spans="2:4" x14ac:dyDescent="0.2">
      <c r="B3" s="8" t="s">
        <v>166</v>
      </c>
      <c r="C3" s="8"/>
      <c r="D3" s="8"/>
    </row>
  </sheetData>
  <mergeCells count="1">
    <mergeCell ref="B3:D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2</vt:i4>
      </vt:variant>
    </vt:vector>
  </HeadingPairs>
  <TitlesOfParts>
    <vt:vector size="9" baseType="lpstr">
      <vt:lpstr>Hoja2</vt:lpstr>
      <vt:lpstr>Hoja3</vt:lpstr>
      <vt:lpstr>Base de datos</vt:lpstr>
      <vt:lpstr>Resumen trimestral</vt:lpstr>
      <vt:lpstr>Dashboard</vt:lpstr>
      <vt:lpstr>Listas</vt:lpstr>
      <vt:lpstr>Hoja1</vt:lpstr>
      <vt:lpstr>Categrorias</vt:lpstr>
      <vt:lpstr>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Izan Nieva Aroca</cp:lastModifiedBy>
  <dcterms:created xsi:type="dcterms:W3CDTF">2025-09-21T15:36:22Z</dcterms:created>
  <dcterms:modified xsi:type="dcterms:W3CDTF">2025-12-13T07:32:32Z</dcterms:modified>
</cp:coreProperties>
</file>